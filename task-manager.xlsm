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202300"/>
  <mc:AlternateContent xmlns:mc="http://schemas.openxmlformats.org/markup-compatibility/2006">
    <mc:Choice Requires="x15">
      <x15ac:absPath xmlns:x15ac="http://schemas.microsoft.com/office/spreadsheetml/2010/11/ac" url="C:\Users\jacok\projects\task-planner\"/>
    </mc:Choice>
  </mc:AlternateContent>
  <xr:revisionPtr revIDLastSave="0" documentId="13_ncr:1_{458A28F3-655D-43AF-8426-D31D4081611C}" xr6:coauthVersionLast="47" xr6:coauthVersionMax="47" xr10:uidLastSave="{00000000-0000-0000-0000-000000000000}"/>
  <bookViews>
    <workbookView xWindow="-110" yWindow="-110" windowWidth="22620" windowHeight="13500" xr2:uid="{A1089828-AD69-481F-A770-6ECAB99F788B}"/>
  </bookViews>
  <sheets>
    <sheet name="Table" sheetId="1" r:id="rId1"/>
    <sheet name="Tasks" sheetId="3" state="hidden" r:id="rId2"/>
    <sheet name="TrackTasks" sheetId="4" state="hidden" r:id="rId3"/>
  </sheets>
  <definedNames>
    <definedName name="_xlpm.J12value" hidden="1" xlm="1">#NAME?</definedName>
    <definedName name="_xlpm.min" hidden="1" xlm="1">#NAME?</definedName>
    <definedName name="_xlpm.valu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1" i="1" l="1" a="1"/>
  <c r="F11" i="1" s="1"/>
  <c r="F12" i="1" a="1"/>
  <c r="F12" i="1" s="1"/>
  <c r="F13" i="1" a="1"/>
  <c r="F13" i="1" s="1"/>
  <c r="E11" i="1" a="1"/>
  <c r="E11" i="1" s="1"/>
  <c r="E13" i="1" a="1"/>
  <c r="E13" i="1" s="1"/>
  <c r="F5" i="1" a="1"/>
  <c r="F5" i="1" s="1"/>
  <c r="F6" i="1" a="1"/>
  <c r="F6" i="1" s="1"/>
  <c r="F7" i="1" a="1"/>
  <c r="F7" i="1" s="1"/>
  <c r="F8" i="1" a="1"/>
  <c r="F8" i="1" s="1"/>
  <c r="D3" i="4"/>
  <c r="D4" i="4"/>
  <c r="D5" i="4"/>
  <c r="D6" i="4"/>
  <c r="D7" i="4"/>
  <c r="D8" i="4"/>
  <c r="D9" i="4"/>
  <c r="D10" i="4"/>
  <c r="D11" i="4"/>
  <c r="D12" i="4"/>
  <c r="D13" i="4"/>
  <c r="D14" i="4"/>
  <c r="D15" i="4"/>
  <c r="D16" i="4"/>
  <c r="D17" i="4"/>
  <c r="D18" i="4"/>
  <c r="D19" i="4"/>
  <c r="D20" i="4"/>
  <c r="D21" i="4"/>
  <c r="D22" i="4"/>
  <c r="D23" i="4"/>
  <c r="D24" i="4"/>
  <c r="D25" i="4"/>
  <c r="D2" i="4"/>
  <c r="C3" i="4"/>
  <c r="C4" i="4"/>
  <c r="C5" i="4"/>
  <c r="C6" i="4"/>
  <c r="C7" i="4"/>
  <c r="C8" i="4"/>
  <c r="C9" i="4"/>
  <c r="C10" i="4"/>
  <c r="C11" i="4"/>
  <c r="C12" i="4"/>
  <c r="C13" i="4"/>
  <c r="C14" i="4"/>
  <c r="C15" i="4"/>
  <c r="C16" i="4"/>
  <c r="C17" i="4"/>
  <c r="C18" i="4"/>
  <c r="C19" i="4"/>
  <c r="C20" i="4"/>
  <c r="C21" i="4"/>
  <c r="C22" i="4"/>
  <c r="C23" i="4"/>
  <c r="C24" i="4"/>
  <c r="C25" i="4"/>
  <c r="C2" i="4"/>
  <c r="B3" i="4"/>
  <c r="B4" i="4"/>
  <c r="B5" i="4"/>
  <c r="B6" i="4"/>
  <c r="B7" i="4"/>
  <c r="B8" i="4"/>
  <c r="B9" i="4"/>
  <c r="B10" i="4"/>
  <c r="B11" i="4"/>
  <c r="B12" i="4"/>
  <c r="B13" i="4"/>
  <c r="B14" i="4"/>
  <c r="B15" i="4"/>
  <c r="B16" i="4"/>
  <c r="B17" i="4"/>
  <c r="B18" i="4"/>
  <c r="B19" i="4"/>
  <c r="B20" i="4"/>
  <c r="B21" i="4"/>
  <c r="B22" i="4"/>
  <c r="B23" i="4"/>
  <c r="B24" i="4"/>
  <c r="B25" i="4"/>
  <c r="B2" i="4"/>
  <c r="A3" i="4"/>
  <c r="A4" i="4"/>
  <c r="A5" i="4"/>
  <c r="A6" i="4"/>
  <c r="A7" i="4"/>
  <c r="A8" i="4"/>
  <c r="A9" i="4"/>
  <c r="A10" i="4"/>
  <c r="A11" i="4"/>
  <c r="A12" i="4"/>
  <c r="A13" i="4"/>
  <c r="A14" i="4"/>
  <c r="A15" i="4"/>
  <c r="A16" i="4"/>
  <c r="A17" i="4"/>
  <c r="A18" i="4"/>
  <c r="A19" i="4"/>
  <c r="A20" i="4"/>
  <c r="A21" i="4"/>
  <c r="A22" i="4"/>
  <c r="A23" i="4"/>
  <c r="A24" i="4"/>
  <c r="A25" i="4"/>
  <c r="A2" i="4"/>
  <c r="E2" i="4" l="1" a="1"/>
  <c r="F2" i="4" a="1"/>
  <c r="E10" i="1" s="1" a="1"/>
  <c r="E10" i="1" s="1"/>
  <c r="H2" i="4" a="1"/>
  <c r="F10" i="1" s="1" a="1"/>
  <c r="F10" i="1" s="1"/>
  <c r="G2" i="4" a="1"/>
  <c r="H2" i="4" l="1"/>
  <c r="H26" i="4" s="1"/>
  <c r="G2" i="4"/>
  <c r="G26" i="4" s="1"/>
  <c r="F2" i="4"/>
  <c r="F26" i="4" s="1"/>
  <c r="E8" i="1" a="1"/>
  <c r="E8" i="1" s="1"/>
  <c r="E2" i="4"/>
  <c r="E26" i="4" s="1"/>
  <c r="E7" i="1" a="1"/>
  <c r="E7" i="1" s="1"/>
  <c r="E6" i="1" a="1"/>
  <c r="E6" i="1" s="1"/>
  <c r="E5" i="1" a="1"/>
  <c r="E5" i="1" s="1"/>
  <c r="E12" i="1" l="1" a="1"/>
  <c r="E12" i="1" s="1"/>
  <c r="E4" i="1" a="1"/>
  <c r="E4" i="1" s="1"/>
  <c r="E9" i="1" a="1"/>
  <c r="E9" i="1" s="1"/>
  <c r="F4" i="1" a="1"/>
  <c r="F4" i="1" s="1"/>
  <c r="F9" i="1" a="1"/>
  <c r="F9"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<sst xmlns="http://schemas.openxmlformats.org/spreadsheetml/2006/main" count="9" uniqueCount="9">
  <si>
    <t>* Double click on the completed Task to cross it off</t>
  </si>
  <si>
    <t>Task</t>
  </si>
  <si>
    <t>Important</t>
  </si>
  <si>
    <t>Urgent</t>
  </si>
  <si>
    <t>Completed</t>
  </si>
  <si>
    <t>Important &amp; Urgent</t>
  </si>
  <si>
    <t>Important &amp; Not Urgent</t>
  </si>
  <si>
    <t>Not Important &amp; Urgent</t>
  </si>
  <si>
    <t>Not Important &amp; Not Urgent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</si>
</sst>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Aptos Narrow"/>
      <family val="2"/>
      <scheme val="minor"/>
    </font>
    <font>
      <b/>
      <sz val="11"/>
      <color theme="1"/>
      <name val="Aptos Narrow"/>
      <family val="2"/>
      <scheme val="minor"/>
    </font>
    <font>
      <sz val="26"/>
      <color theme="1"/>
      <name val="Calibri"/>
      <family val="2"/>
      <charset val="238"/>
    </font>
    <font>
      <i/>
      <sz val="11"/>
      <color theme="2" tint="-0.249977111117893"/>
      <name val="Aptos Narrow"/>
      <family val="2"/>
      <scheme val="minor"/>
    </font>
  </fonts>
  <fills count="3">
    <fill>
      <patternFill patternType="none"/>
    </fill>
    <fill>
      <patternFill patternType="gray125"/>
    </fill>
    <fill>
      <patternFill patternType="solid">
        <fgColor theme="5" tint="0.59999389629810485"/>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1">
    <xf numFmtId="0" fontId="0" fillId="0" borderId="0"/>
  </cellStyleXfs>
  <cellXfs count="14">
    <xf numFmtId="0" fontId="0" fillId="0" borderId="0" xfId="0"/>
    <xf numFmtId="0" fontId="2" fillId="0" borderId="0" xfId="0" applyFont="1" applyAlignment="1">
      <alignment horizontal="left" vertical="center"/>
    </xf>
    <xf numFmtId="0" fontId="3" fillId="0" borderId="0" xfId="0" applyFont="1"/>
    <xf numFmtId="0" fontId="1" fillId="2" borderId="2" xfId="0" applyFont="1" applyFill="1" applyBorder="1"/>
    <xf numFmtId="0" fontId="0" fillId="0" borderId="3" xfId="0" applyBorder="1"/>
    <xf numFmtId="0" fontId="0" fillId="0" borderId="1" xfId="0" applyBorder="1"/>
    <xf numFmtId="0" fontId="0" fillId="0" borderId="4"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5" xfId="0" applyBorder="1" applyProtection="1">
      <protection locked="0"/>
    </xf>
    <xf numFmtId="0" fontId="0" fillId="0" borderId="6" xfId="0" applyBorder="1" applyProtection="1">
      <protection locked="0"/>
    </xf>
    <xf numFmtId="0" fontId="0" fillId="0" borderId="7" xfId="0" applyBorder="1" applyProtection="1">
      <protection locked="0"/>
    </xf>
  </cellXfs>
  <cellStyles count="1">
    <cellStyle name="Normal" xfId="0" builtinId="0"/>
  </cellStyles>
  <dxfs count="8">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Aptos Narrow"/>
        <family val="2"/>
        <scheme val="minor"/>
      </font>
      <fill>
        <patternFill patternType="solid">
          <fgColor indexed="64"/>
          <bgColor theme="5" tint="0.59999389629810485"/>
        </patternFill>
      </fill>
    </dxf>
  </dxfs>
  <tableStyles count="0" defaultTableStyle="TableStyleMedium2" defaultPivotStyle="PivotStyleLight16"/>
  <colors>
    <mruColors>
      <color rgb="FFFCE0D0"/>
      <color rgb="FF34564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barChart>
        <c:barDir val="bar"/>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TrackTasks!$A$1:$D$1</c:f>
              <c:strCache>
                <c:ptCount val="4"/>
                <c:pt idx="0">
                  <c:v>Important &amp; Urgent</c:v>
                </c:pt>
                <c:pt idx="1">
                  <c:v>Important &amp; Not Urgent</c:v>
                </c:pt>
                <c:pt idx="2">
                  <c:v>Not Important &amp; Urgent</c:v>
                </c:pt>
                <c:pt idx="3">
                  <c:v>Not Important &amp; Not Urgent</c:v>
                </c:pt>
              </c:strCache>
            </c:strRef>
          </c:cat>
          <c:val>
            <c:numRef>
              <c:f>TrackTasks!$E$26:$H$26</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C849-4992-92F4-320840E2D040}"/>
            </c:ext>
          </c:extLst>
        </c:ser>
        <c:dLbls>
          <c:dLblPos val="outEnd"/>
          <c:showLegendKey val="0"/>
          <c:showVal val="1"/>
          <c:showCatName val="0"/>
          <c:showSerName val="0"/>
          <c:showPercent val="0"/>
          <c:showBubbleSize val="0"/>
        </c:dLbls>
        <c:gapWidth val="182"/>
        <c:axId val="823586048"/>
        <c:axId val="823594688"/>
      </c:barChart>
      <c:catAx>
        <c:axId val="823586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3594688"/>
        <c:crosses val="autoZero"/>
        <c:auto val="1"/>
        <c:lblAlgn val="ctr"/>
        <c:lblOffset val="100"/>
        <c:noMultiLvlLbl val="0"/>
      </c:catAx>
      <c:valAx>
        <c:axId val="823594688"/>
        <c:scaling>
          <c:orientation val="minMax"/>
          <c:max val="1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3586048"/>
        <c:crosses val="autoZero"/>
        <c:crossBetween val="between"/>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Reversed" id="22">
  <a:schemeClr val="accent2"/>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31" fmlaLink="TrackTasks!$E$1" max="25" min="1" page="5"/>
</file>

<file path=xl/ctrlProps/ctrlProp2.xml><?xml version="1.0" encoding="utf-8"?>
<formControlPr xmlns="http://schemas.microsoft.com/office/spreadsheetml/2009/9/main" objectType="Scroll" dx="31" fmlaLink="TrackTasks!$F$1" max="25" min="1" page="5"/>
</file>

<file path=xl/ctrlProps/ctrlProp3.xml><?xml version="1.0" encoding="utf-8"?>
<formControlPr xmlns="http://schemas.microsoft.com/office/spreadsheetml/2009/9/main" objectType="Scroll" dx="31" fmlaLink="TrackTasks!$G$1" max="25" min="1" page="5"/>
</file>

<file path=xl/ctrlProps/ctrlProp4.xml><?xml version="1.0" encoding="utf-8"?>
<formControlPr xmlns="http://schemas.microsoft.com/office/spreadsheetml/2009/9/main" objectType="Scroll" dx="31" fmlaLink="TrackTasks!$H$1" max="25" min="1" page="5"/>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203200</xdr:colOff>
      <xdr:row>3</xdr:row>
      <xdr:rowOff>311150</xdr:rowOff>
    </xdr:from>
    <xdr:to>
      <xdr:col>2</xdr:col>
      <xdr:colOff>488950</xdr:colOff>
      <xdr:row>5</xdr:row>
      <xdr:rowOff>355600</xdr:rowOff>
    </xdr:to>
    <xdr:sp macro="[0]!InitializeForm" textlink="">
      <xdr:nvSpPr>
        <xdr:cNvPr id="2" name="Rectangle: Rounded Corners 1">
          <a:extLst>
            <a:ext uri="{FF2B5EF4-FFF2-40B4-BE49-F238E27FC236}">
              <a16:creationId xmlns:a16="http://schemas.microsoft.com/office/drawing/2014/main" id="{00000000-0008-0000-0000-000002000000}"/>
            </a:ext>
          </a:extLst>
        </xdr:cNvPr>
        <xdr:cNvSpPr/>
      </xdr:nvSpPr>
      <xdr:spPr>
        <a:xfrm>
          <a:off x="203200" y="1689100"/>
          <a:ext cx="1504950" cy="844550"/>
        </a:xfrm>
        <a:prstGeom prst="roundRect">
          <a:avLst/>
        </a:prstGeom>
        <a:solidFill>
          <a:srgbClr val="34564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a:t>Add a New</a:t>
          </a:r>
          <a:r>
            <a:rPr lang="pl-PL" sz="1400" baseline="0"/>
            <a:t> Task</a:t>
          </a:r>
          <a:endParaRPr lang="en-US" sz="1400"/>
        </a:p>
      </xdr:txBody>
    </xdr:sp>
    <xdr:clientData/>
  </xdr:twoCellAnchor>
  <mc:AlternateContent xmlns:mc="http://schemas.openxmlformats.org/markup-compatibility/2006">
    <mc:Choice xmlns:a14="http://schemas.microsoft.com/office/drawing/2010/main" Requires="a14">
      <xdr:twoCellAnchor editAs="oneCell">
        <xdr:from>
          <xdr:col>4</xdr:col>
          <xdr:colOff>2082800</xdr:colOff>
          <xdr:row>3</xdr:row>
          <xdr:rowOff>38100</xdr:rowOff>
        </xdr:from>
        <xdr:to>
          <xdr:col>4</xdr:col>
          <xdr:colOff>2355850</xdr:colOff>
          <xdr:row>7</xdr:row>
          <xdr:rowOff>368300</xdr:rowOff>
        </xdr:to>
        <xdr:sp macro="" textlink="">
          <xdr:nvSpPr>
            <xdr:cNvPr id="1025" name="Scroll Bar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2095500</xdr:colOff>
          <xdr:row>3</xdr:row>
          <xdr:rowOff>31750</xdr:rowOff>
        </xdr:from>
        <xdr:to>
          <xdr:col>5</xdr:col>
          <xdr:colOff>2374900</xdr:colOff>
          <xdr:row>7</xdr:row>
          <xdr:rowOff>349250</xdr:rowOff>
        </xdr:to>
        <xdr:sp macro="" textlink="">
          <xdr:nvSpPr>
            <xdr:cNvPr id="1029" name="Scroll Bar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2095500</xdr:colOff>
          <xdr:row>8</xdr:row>
          <xdr:rowOff>25400</xdr:rowOff>
        </xdr:from>
        <xdr:to>
          <xdr:col>4</xdr:col>
          <xdr:colOff>2374900</xdr:colOff>
          <xdr:row>12</xdr:row>
          <xdr:rowOff>393700</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2108200</xdr:colOff>
          <xdr:row>8</xdr:row>
          <xdr:rowOff>44450</xdr:rowOff>
        </xdr:from>
        <xdr:to>
          <xdr:col>5</xdr:col>
          <xdr:colOff>2362200</xdr:colOff>
          <xdr:row>12</xdr:row>
          <xdr:rowOff>361950</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4</xdr:col>
      <xdr:colOff>0</xdr:colOff>
      <xdr:row>1</xdr:row>
      <xdr:rowOff>127000</xdr:rowOff>
    </xdr:from>
    <xdr:to>
      <xdr:col>4</xdr:col>
      <xdr:colOff>2387600</xdr:colOff>
      <xdr:row>2</xdr:row>
      <xdr:rowOff>254000</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2222500" y="1047750"/>
          <a:ext cx="2387600" cy="311150"/>
        </a:xfrm>
        <a:prstGeom prst="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b="1"/>
            <a:t>IMPORTANT</a:t>
          </a:r>
          <a:endParaRPr lang="en-US" sz="1400" b="1"/>
        </a:p>
      </xdr:txBody>
    </xdr:sp>
    <xdr:clientData/>
  </xdr:twoCellAnchor>
  <xdr:twoCellAnchor>
    <xdr:from>
      <xdr:col>4</xdr:col>
      <xdr:colOff>2305050</xdr:colOff>
      <xdr:row>1</xdr:row>
      <xdr:rowOff>127000</xdr:rowOff>
    </xdr:from>
    <xdr:to>
      <xdr:col>6</xdr:col>
      <xdr:colOff>6350</xdr:colOff>
      <xdr:row>2</xdr:row>
      <xdr:rowOff>254000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4527550" y="1047750"/>
          <a:ext cx="2489200" cy="311150"/>
        </a:xfrm>
        <a:prstGeom prst="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b="1"/>
            <a:t>NOT IMPORTANT</a:t>
          </a:r>
          <a:endParaRPr lang="en-US" sz="1400" b="1"/>
        </a:p>
      </xdr:txBody>
    </xdr:sp>
    <xdr:clientData/>
  </xdr:twoCellAnchor>
  <xdr:twoCellAnchor>
    <xdr:from>
      <xdr:col>3</xdr:col>
      <xdr:colOff>63500</xdr:colOff>
      <xdr:row>3</xdr:row>
      <xdr:rowOff>6350</xdr:rowOff>
    </xdr:from>
    <xdr:to>
      <xdr:col>3</xdr:col>
      <xdr:colOff>387350</xdr:colOff>
      <xdr:row>8</xdr:row>
      <xdr:rowOff>0</xdr:rowOff>
    </xdr:to>
    <xdr:sp macro="" textlink="">
      <xdr:nvSpPr>
        <xdr:cNvPr id="8" name="Rectangle 7">
          <a:extLst>
            <a:ext uri="{FF2B5EF4-FFF2-40B4-BE49-F238E27FC236}">
              <a16:creationId xmlns:a16="http://schemas.microsoft.com/office/drawing/2014/main" id="{00000000-0008-0000-0000-000008000000}"/>
            </a:ext>
          </a:extLst>
        </xdr:cNvPr>
        <xdr:cNvSpPr/>
      </xdr:nvSpPr>
      <xdr:spPr>
        <a:xfrm>
          <a:off x="1892300" y="1384300"/>
          <a:ext cx="323850" cy="1993900"/>
        </a:xfrm>
        <a:prstGeom prst="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pl-PL" sz="1400" b="1"/>
            <a:t>URGENT</a:t>
          </a:r>
          <a:endParaRPr lang="en-US" sz="1400" b="1"/>
        </a:p>
      </xdr:txBody>
    </xdr:sp>
    <xdr:clientData/>
  </xdr:twoCellAnchor>
  <xdr:twoCellAnchor>
    <xdr:from>
      <xdr:col>3</xdr:col>
      <xdr:colOff>63500</xdr:colOff>
      <xdr:row>7</xdr:row>
      <xdr:rowOff>387350</xdr:rowOff>
    </xdr:from>
    <xdr:to>
      <xdr:col>3</xdr:col>
      <xdr:colOff>387350</xdr:colOff>
      <xdr:row>13</xdr:row>
      <xdr:rowOff>6350</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1892300" y="3365500"/>
          <a:ext cx="323850" cy="2019300"/>
        </a:xfrm>
        <a:prstGeom prst="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pl-PL" sz="1400" b="1"/>
            <a:t>NOT URGENT</a:t>
          </a:r>
          <a:endParaRPr lang="en-US" sz="1400" b="1"/>
        </a:p>
      </xdr:txBody>
    </xdr:sp>
    <xdr:clientData/>
  </xdr:twoCellAnchor>
  <xdr:twoCellAnchor>
    <xdr:from>
      <xdr:col>0</xdr:col>
      <xdr:colOff>215900</xdr:colOff>
      <xdr:row>6</xdr:row>
      <xdr:rowOff>38100</xdr:rowOff>
    </xdr:from>
    <xdr:to>
      <xdr:col>2</xdr:col>
      <xdr:colOff>501650</xdr:colOff>
      <xdr:row>9</xdr:row>
      <xdr:rowOff>38100</xdr:rowOff>
    </xdr:to>
    <xdr:sp macro="[0]!RemoveCompletedTasks"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215900" y="1879600"/>
          <a:ext cx="1504950" cy="1200150"/>
        </a:xfrm>
        <a:prstGeom prst="roundRect">
          <a:avLst/>
        </a:prstGeom>
        <a:solidFill>
          <a:srgbClr val="34564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a:t>Remove Completed </a:t>
          </a:r>
          <a:endParaRPr lang="en-US" sz="1400"/>
        </a:p>
      </xdr:txBody>
    </xdr:sp>
    <xdr:clientData/>
  </xdr:twoCellAnchor>
  <xdr:twoCellAnchor>
    <xdr:from>
      <xdr:col>0</xdr:col>
      <xdr:colOff>209550</xdr:colOff>
      <xdr:row>1</xdr:row>
      <xdr:rowOff>107950</xdr:rowOff>
    </xdr:from>
    <xdr:to>
      <xdr:col>2</xdr:col>
      <xdr:colOff>495300</xdr:colOff>
      <xdr:row>3</xdr:row>
      <xdr:rowOff>203200</xdr:rowOff>
    </xdr:to>
    <xdr:sp macro="[0]!ShowInfo"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209550" y="1028700"/>
          <a:ext cx="1504950" cy="552450"/>
        </a:xfrm>
        <a:prstGeom prst="roundRect">
          <a:avLst/>
        </a:prstGeom>
        <a:solidFill>
          <a:srgbClr val="34564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a:t>App</a:t>
          </a:r>
          <a:r>
            <a:rPr lang="pl-PL" sz="1400" baseline="0"/>
            <a:t> Info</a:t>
          </a:r>
          <a:endParaRPr lang="en-US" sz="1400"/>
        </a:p>
      </xdr:txBody>
    </xdr:sp>
    <xdr:clientData/>
  </xdr:twoCellAnchor>
  <xdr:twoCellAnchor>
    <xdr:from>
      <xdr:col>2</xdr:col>
      <xdr:colOff>584200</xdr:colOff>
      <xdr:row>0</xdr:row>
      <xdr:rowOff>0</xdr:rowOff>
    </xdr:from>
    <xdr:to>
      <xdr:col>6</xdr:col>
      <xdr:colOff>50800</xdr:colOff>
      <xdr:row>8</xdr:row>
      <xdr:rowOff>69850</xdr:rowOff>
    </xdr:to>
    <xdr:sp macro="" textlink="">
      <xdr:nvSpPr>
        <xdr:cNvPr id="5" name="AppInfo" hidden="1">
          <a:extLst>
            <a:ext uri="{FF2B5EF4-FFF2-40B4-BE49-F238E27FC236}">
              <a16:creationId xmlns:a16="http://schemas.microsoft.com/office/drawing/2014/main" id="{00000000-0008-0000-0000-000005000000}"/>
            </a:ext>
          </a:extLst>
        </xdr:cNvPr>
        <xdr:cNvSpPr/>
      </xdr:nvSpPr>
      <xdr:spPr>
        <a:xfrm>
          <a:off x="1803400" y="241300"/>
          <a:ext cx="5257800" cy="3206750"/>
        </a:xfrm>
        <a:prstGeom prst="roundRect">
          <a:avLst/>
        </a:prstGeom>
        <a:solidFill>
          <a:srgbClr val="34564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pl-PL" sz="1200"/>
            <a:t>App, inspired by the Excel VBA Course by TrumpExcel, draws upon the course's teachings for its functionality and the skills needed to develop it. However, the final code was developed independently by myself.</a:t>
          </a:r>
        </a:p>
        <a:p>
          <a:pPr algn="l"/>
          <a:endParaRPr lang="pl-PL" sz="1200"/>
        </a:p>
        <a:p>
          <a:pPr algn="l"/>
          <a:r>
            <a:rPr lang="pl-PL" sz="1200"/>
            <a:t>The purpose of the app is task management. Users can add new tasks, specifying their importance and urgency using the "Add a New Task" button. Upon completing a task, users can simply double-click on it and utilize the "Remove Completed Task" button to clear it from the list.</a:t>
          </a:r>
        </a:p>
        <a:p>
          <a:pPr algn="l"/>
          <a:endParaRPr lang="pl-PL" sz="1200"/>
        </a:p>
        <a:p>
          <a:pPr algn="l"/>
          <a:r>
            <a:rPr lang="pl-PL" sz="1200"/>
            <a:t>To hide the app's information, users can click the "App Info" button again.</a:t>
          </a:r>
        </a:p>
      </xdr:txBody>
    </xdr:sp>
    <xdr:clientData/>
  </xdr:twoCellAnchor>
  <xdr:twoCellAnchor>
    <xdr:from>
      <xdr:col>6</xdr:col>
      <xdr:colOff>454025</xdr:colOff>
      <xdr:row>1</xdr:row>
      <xdr:rowOff>158750</xdr:rowOff>
    </xdr:from>
    <xdr:to>
      <xdr:col>14</xdr:col>
      <xdr:colOff>149225</xdr:colOff>
      <xdr:row>9</xdr:row>
      <xdr:rowOff>44450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C3ED3CE-334E-4D93-8656-6F39A85C8CD4}" name="tasksTable" displayName="tasksTable" ref="A1:D51" totalsRowShown="0" headerRowDxfId="7" headerRowBorderDxfId="6" tableBorderDxfId="5" totalsRowBorderDxfId="4">
  <autoFilter ref="A1:D51" xr:uid="{FC3ED3CE-334E-4D93-8656-6F39A85C8CD4}"/>
  <tableColumns count="4">
    <tableColumn id="1" xr3:uid="{E6112DB3-B4B1-4C38-A95D-47EE7C498C05}" name="Task" dataDxfId="3"/>
    <tableColumn id="2" xr3:uid="{91BCF35E-1CEA-4315-9B99-3B29A5F80B39}" name="Important" dataDxfId="2"/>
    <tableColumn id="3" xr3:uid="{401CA557-C378-4C39-898B-EB24835F35F2}" name="Urgent" dataDxfId="1"/>
    <tableColumn id="4" xr3:uid="{A11F216B-FAC8-43EC-BAA3-A1A9FDBDAAFF}" name="Completed"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7990-D122-465D-9338-C44F16E85107}">
  <sheetPr codeName="Table"/>
  <dimension ref="A1:F16"/>
  <sheetViews>
    <sheetView showGridLines="0" tabSelected="1" zoomScaleNormal="100" workbookViewId="0">
      <selection activeCell="E4" sqref="E4"/>
    </sheetView>
  </sheetViews>
  <sheetFormatPr defaultRowHeight="14.5" x14ac:dyDescent="0.35"/>
  <cols>
    <col min="4" max="4" width="5.6328125" customWidth="1"/>
    <col min="5" max="6" width="34.26953125" customWidth="1"/>
  </cols>
  <sheetData>
    <row r="1" spans="1:6" ht="14.5" customHeight="1" x14ac:dyDescent="0.35">
      <c r="E1" s="1"/>
    </row>
    <row r="3" spans="1:6" ht="21.5" customHeight="1" thickBot="1" x14ac:dyDescent="0.4"/>
    <row r="4" spans="1:6" ht="31.5" customHeight="1" x14ac:dyDescent="0.35">
      <c r="E4" s="11" t="str" cm="1">
        <f t="array" ref="E4">_xlfn.LET(_xlpm.value, INDEX(TrackTasks!$E$1:$H$25, ROW(TrackTasks!I1) +TrackTasks!$E$1, 1), IF(_xlpm.value=0, "", _xlpm.value))</f>
        <v/>
      </c>
      <c r="F4" s="11" t="str" cm="1">
        <f t="array" ref="F4">_xlfn.LET(_xlpm.value, INDEX(TrackTasks!$E$1:$H$25, ROW(TrackTasks!I1) +TrackTasks!$F$1, 3), IF(_xlpm.value=0, "", _xlpm.value))</f>
        <v/>
      </c>
    </row>
    <row r="5" spans="1:6" ht="31.5" customHeight="1" x14ac:dyDescent="0.35">
      <c r="E5" s="12" t="str" cm="1">
        <f t="array" ref="E5">_xlfn.LET(_xlpm.value, INDEX(TrackTasks!$E$1:$H$25, ROW(TrackTasks!I2) +TrackTasks!$E$1, 1), IF(_xlpm.value=0, "", _xlpm.value))</f>
        <v/>
      </c>
      <c r="F5" s="12" t="str" cm="1">
        <f t="array" ref="F5">_xlfn.LET(_xlpm.value, INDEX(TrackTasks!$E$1:$H$25, ROW(TrackTasks!I2) +TrackTasks!$F$1, 3), IF(_xlpm.value=0, "", _xlpm.value))</f>
        <v/>
      </c>
    </row>
    <row r="6" spans="1:6" ht="31.5" customHeight="1" x14ac:dyDescent="0.35">
      <c r="E6" s="12" t="str" cm="1">
        <f t="array" ref="E6">_xlfn.LET(_xlpm.value, INDEX(TrackTasks!$E$1:$H$25, ROW(TrackTasks!I3) +TrackTasks!$E$1, 1), IF(_xlpm.value=0, "", _xlpm.value))</f>
        <v/>
      </c>
      <c r="F6" s="12" t="str" cm="1">
        <f t="array" ref="F6">_xlfn.LET(_xlpm.value, INDEX(TrackTasks!$E$1:$H$25, ROW(TrackTasks!I3) +TrackTasks!$F$1, 3), IF(_xlpm.value=0, "", _xlpm.value))</f>
        <v/>
      </c>
    </row>
    <row r="7" spans="1:6" ht="31.5" customHeight="1" x14ac:dyDescent="0.35">
      <c r="E7" s="12" t="str" cm="1">
        <f t="array" ref="E7">_xlfn.LET(_xlpm.value, INDEX(TrackTasks!$E$1:$H$25, ROW(TrackTasks!I4) +TrackTasks!$E$1, 1), IF(_xlpm.value=0, "", _xlpm.value))</f>
        <v/>
      </c>
      <c r="F7" s="12" t="str" cm="1">
        <f t="array" ref="F7">_xlfn.LET(_xlpm.value, INDEX(TrackTasks!$E$1:$H$25, ROW(TrackTasks!I4) +TrackTasks!$F$1, 3), IF(_xlpm.value=0, "", _xlpm.value))</f>
        <v/>
      </c>
    </row>
    <row r="8" spans="1:6" ht="31.5" customHeight="1" thickBot="1" x14ac:dyDescent="0.4">
      <c r="E8" s="13" t="str" cm="1">
        <f t="array" ref="E8">_xlfn.LET(_xlpm.value, INDEX(TrackTasks!$E$1:$H$25, ROW(TrackTasks!I5) +TrackTasks!$E$1, 1), IF(_xlpm.value=0, "", _xlpm.value))</f>
        <v/>
      </c>
      <c r="F8" s="13" t="str" cm="1">
        <f t="array" ref="F8">_xlfn.LET(_xlpm.value, INDEX(TrackTasks!$E$1:$H$25, ROW(TrackTasks!I5) +TrackTasks!$F$1, 3), IF(_xlpm.value=0, "", _xlpm.value))</f>
        <v/>
      </c>
    </row>
    <row r="9" spans="1:6" ht="31.5" customHeight="1" x14ac:dyDescent="0.35">
      <c r="E9" s="11" t="str" cm="1">
        <f t="array" ref="E9">_xlfn.LET(_xlpm.value, INDEX(TrackTasks!$E$1:$H$25, ROW(TrackTasks!I1) +TrackTasks!$G$1, 2), IF(_xlpm.value=0, "", _xlpm.value))</f>
        <v/>
      </c>
      <c r="F9" s="11" t="str" cm="1">
        <f t="array" ref="F9">_xlfn.LET(_xlpm.value, INDEX(TrackTasks!$E$1:$H$25, ROW(TrackTasks!I1) +TrackTasks!$H$1, 4), IF(_xlpm.value=0, "", _xlpm.value))</f>
        <v/>
      </c>
    </row>
    <row r="10" spans="1:6" ht="31.5" customHeight="1" x14ac:dyDescent="0.35">
      <c r="E10" s="12" t="str" cm="1">
        <f t="array" ref="E10">_xlfn.LET(_xlpm.value, INDEX(TrackTasks!$E$1:$H$25, ROW(TrackTasks!I2) +TrackTasks!$G$1, 2), IF(_xlpm.value=0, "", _xlpm.value))</f>
        <v/>
      </c>
      <c r="F10" s="12" t="str" cm="1">
        <f t="array" ref="F10">_xlfn.LET(_xlpm.value, INDEX(TrackTasks!$E$1:$H$25, ROW(TrackTasks!I2) +TrackTasks!$H$1, 4), IF(_xlpm.value=0, "", _xlpm.value))</f>
        <v/>
      </c>
    </row>
    <row r="11" spans="1:6" ht="31.5" customHeight="1" x14ac:dyDescent="0.35">
      <c r="E11" s="12" t="str" cm="1">
        <f t="array" ref="E11">_xlfn.LET(_xlpm.value, INDEX(TrackTasks!$E$1:$H$25, ROW(TrackTasks!I3) +TrackTasks!$G$1, 2), IF(_xlpm.value=0, "", _xlpm.value))</f>
        <v/>
      </c>
      <c r="F11" s="12" t="str" cm="1">
        <f t="array" ref="F11">_xlfn.LET(_xlpm.value, INDEX(TrackTasks!$E$1:$H$25, ROW(TrackTasks!I3) +TrackTasks!$H$1, 4), IF(_xlpm.value=0, "", _xlpm.value))</f>
        <v/>
      </c>
    </row>
    <row r="12" spans="1:6" ht="31.5" customHeight="1" x14ac:dyDescent="0.35">
      <c r="E12" s="12" t="str" cm="1">
        <f t="array" ref="E12">_xlfn.LET(_xlpm.value, INDEX(TrackTasks!$E$1:$H$25, ROW(TrackTasks!I4) +TrackTasks!$G$1, 2), IF(_xlpm.value=0, "", _xlpm.value))</f>
        <v/>
      </c>
      <c r="F12" s="12" t="str" cm="1">
        <f t="array" ref="F12">_xlfn.LET(_xlpm.value, INDEX(TrackTasks!$E$1:$H$25, ROW(TrackTasks!I4) +TrackTasks!$H$1, 4), IF(_xlpm.value=0, "", _xlpm.value))</f>
        <v/>
      </c>
    </row>
    <row r="13" spans="1:6" ht="31.5" customHeight="1" thickBot="1" x14ac:dyDescent="0.4">
      <c r="E13" s="13" t="str" cm="1">
        <f t="array" ref="E13">_xlfn.LET(_xlpm.value, INDEX(TrackTasks!$E$1:$H$25, ROW(TrackTasks!I5) +TrackTasks!$G$1, 2), IF(_xlpm.value=0, "", _xlpm.value))</f>
        <v/>
      </c>
      <c r="F13" s="13" t="str" cm="1">
        <f t="array" ref="F13">_xlfn.LET(_xlpm.value, INDEX(TrackTasks!$E$1:$H$25, ROW(TrackTasks!I5) +TrackTasks!$H$1, 4), IF(_xlpm.value=0, "", _xlpm.value))</f>
        <v/>
      </c>
    </row>
    <row r="16" spans="1:6" x14ac:dyDescent="0.35">
      <c r="A16" s="2" t="s">
        <v>0</v>
      </c>
    </row>
  </sheetData>
  <sheetProtection sheet="1" objects="1" scenarios="1" selectLockedCells="1"/>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croll Bar 1">
              <controlPr defaultSize="0" autoPict="0">
                <anchor moveWithCells="1">
                  <from>
                    <xdr:col>4</xdr:col>
                    <xdr:colOff>2082800</xdr:colOff>
                    <xdr:row>3</xdr:row>
                    <xdr:rowOff>38100</xdr:rowOff>
                  </from>
                  <to>
                    <xdr:col>4</xdr:col>
                    <xdr:colOff>2355850</xdr:colOff>
                    <xdr:row>7</xdr:row>
                    <xdr:rowOff>368300</xdr:rowOff>
                  </to>
                </anchor>
              </controlPr>
            </control>
          </mc:Choice>
        </mc:AlternateContent>
        <mc:AlternateContent xmlns:mc="http://schemas.openxmlformats.org/markup-compatibility/2006">
          <mc:Choice Requires="x14">
            <control shapeId="1029" r:id="rId5" name="Scroll Bar 5">
              <controlPr defaultSize="0" autoPict="0">
                <anchor moveWithCells="1">
                  <from>
                    <xdr:col>5</xdr:col>
                    <xdr:colOff>2095500</xdr:colOff>
                    <xdr:row>3</xdr:row>
                    <xdr:rowOff>31750</xdr:rowOff>
                  </from>
                  <to>
                    <xdr:col>5</xdr:col>
                    <xdr:colOff>2374900</xdr:colOff>
                    <xdr:row>7</xdr:row>
                    <xdr:rowOff>349250</xdr:rowOff>
                  </to>
                </anchor>
              </controlPr>
            </control>
          </mc:Choice>
        </mc:AlternateContent>
        <mc:AlternateContent xmlns:mc="http://schemas.openxmlformats.org/markup-compatibility/2006">
          <mc:Choice Requires="x14">
            <control shapeId="1030" r:id="rId6" name="Scroll Bar 6">
              <controlPr defaultSize="0" autoPict="0">
                <anchor moveWithCells="1">
                  <from>
                    <xdr:col>4</xdr:col>
                    <xdr:colOff>2095500</xdr:colOff>
                    <xdr:row>8</xdr:row>
                    <xdr:rowOff>25400</xdr:rowOff>
                  </from>
                  <to>
                    <xdr:col>4</xdr:col>
                    <xdr:colOff>2374900</xdr:colOff>
                    <xdr:row>12</xdr:row>
                    <xdr:rowOff>393700</xdr:rowOff>
                  </to>
                </anchor>
              </controlPr>
            </control>
          </mc:Choice>
        </mc:AlternateContent>
        <mc:AlternateContent xmlns:mc="http://schemas.openxmlformats.org/markup-compatibility/2006">
          <mc:Choice Requires="x14">
            <control shapeId="1031" r:id="rId7" name="Scroll Bar 7">
              <controlPr defaultSize="0" autoPict="0">
                <anchor moveWithCells="1">
                  <from>
                    <xdr:col>5</xdr:col>
                    <xdr:colOff>2108200</xdr:colOff>
                    <xdr:row>8</xdr:row>
                    <xdr:rowOff>44450</xdr:rowOff>
                  </from>
                  <to>
                    <xdr:col>5</xdr:col>
                    <xdr:colOff>2362200</xdr:colOff>
                    <xdr:row>12</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E3A1D-F8B1-44D3-8668-A77B84EF626E}">
  <sheetPr codeName="Tasks"/>
  <dimension ref="A1:D51"/>
  <sheetViews>
    <sheetView workbookViewId="0">
      <selection activeCell="A21" sqref="A21"/>
    </sheetView>
  </sheetViews>
  <sheetFormatPr defaultRowHeight="14.5" x14ac:dyDescent="0.35"/>
  <cols>
    <col min="1" max="1" width="26.453125" customWidth="1"/>
    <col min="2" max="4" width="13.26953125" customWidth="1"/>
    <col min="5" max="6" width="14" customWidth="1"/>
  </cols>
  <sheetData>
    <row r="1" spans="1:4" x14ac:dyDescent="0.35">
      <c r="A1" s="3" t="s">
        <v>1</v>
      </c>
      <c r="B1" s="3" t="s">
        <v>2</v>
      </c>
      <c r="C1" s="3" t="s">
        <v>3</v>
      </c>
      <c r="D1" s="3" t="s">
        <v>4</v>
      </c>
    </row>
    <row r="2" spans="1:4" x14ac:dyDescent="0.35">
      <c r="A2" s="4"/>
      <c r="B2" s="5"/>
      <c r="C2" s="5"/>
      <c r="D2" s="6"/>
    </row>
    <row r="3" spans="1:4" x14ac:dyDescent="0.35">
      <c r="A3" s="4"/>
      <c r="B3" s="5"/>
      <c r="C3" s="5"/>
      <c r="D3" s="6"/>
    </row>
    <row r="4" spans="1:4" x14ac:dyDescent="0.35">
      <c r="A4" s="4"/>
      <c r="B4" s="5"/>
      <c r="C4" s="5"/>
      <c r="D4" s="6"/>
    </row>
    <row r="5" spans="1:4" x14ac:dyDescent="0.35">
      <c r="A5" s="4"/>
      <c r="B5" s="5"/>
      <c r="C5" s="5"/>
      <c r="D5" s="6"/>
    </row>
    <row r="6" spans="1:4" x14ac:dyDescent="0.35">
      <c r="A6" s="4"/>
      <c r="B6" s="5"/>
      <c r="C6" s="5"/>
      <c r="D6" s="6"/>
    </row>
    <row r="7" spans="1:4" x14ac:dyDescent="0.35">
      <c r="A7" s="4"/>
      <c r="B7" s="5"/>
      <c r="C7" s="5"/>
      <c r="D7" s="6"/>
    </row>
    <row r="8" spans="1:4" x14ac:dyDescent="0.35">
      <c r="A8" s="4"/>
      <c r="B8" s="5"/>
      <c r="C8" s="5"/>
      <c r="D8" s="6"/>
    </row>
    <row r="9" spans="1:4" x14ac:dyDescent="0.35">
      <c r="A9" s="4"/>
      <c r="B9" s="5"/>
      <c r="C9" s="5"/>
      <c r="D9" s="6"/>
    </row>
    <row r="10" spans="1:4" x14ac:dyDescent="0.35">
      <c r="A10" s="4"/>
      <c r="B10" s="5"/>
      <c r="C10" s="5"/>
      <c r="D10" s="6"/>
    </row>
    <row r="11" spans="1:4" x14ac:dyDescent="0.35">
      <c r="A11" s="4"/>
      <c r="B11" s="5"/>
      <c r="C11" s="5"/>
      <c r="D11" s="6"/>
    </row>
    <row r="12" spans="1:4" x14ac:dyDescent="0.35">
      <c r="A12" s="4"/>
      <c r="B12" s="5"/>
      <c r="C12" s="5"/>
      <c r="D12" s="6"/>
    </row>
    <row r="13" spans="1:4" x14ac:dyDescent="0.35">
      <c r="A13" s="4"/>
      <c r="B13" s="5"/>
      <c r="C13" s="5"/>
      <c r="D13" s="6"/>
    </row>
    <row r="14" spans="1:4" x14ac:dyDescent="0.35">
      <c r="A14" s="4"/>
      <c r="B14" s="5"/>
      <c r="C14" s="5"/>
      <c r="D14" s="6"/>
    </row>
    <row r="15" spans="1:4" x14ac:dyDescent="0.35">
      <c r="A15" s="4"/>
      <c r="B15" s="5"/>
      <c r="C15" s="5"/>
      <c r="D15" s="6"/>
    </row>
    <row r="16" spans="1:4" x14ac:dyDescent="0.35">
      <c r="A16" s="4"/>
      <c r="B16" s="5"/>
      <c r="C16" s="5"/>
      <c r="D16" s="6"/>
    </row>
    <row r="17" spans="1:4" x14ac:dyDescent="0.35">
      <c r="A17" s="4"/>
      <c r="B17" s="5"/>
      <c r="C17" s="5"/>
      <c r="D17" s="6"/>
    </row>
    <row r="18" spans="1:4" x14ac:dyDescent="0.35">
      <c r="A18" s="4"/>
      <c r="B18" s="5"/>
      <c r="C18" s="5"/>
      <c r="D18" s="6"/>
    </row>
    <row r="19" spans="1:4" x14ac:dyDescent="0.35">
      <c r="A19" s="4"/>
      <c r="B19" s="5"/>
      <c r="C19" s="5"/>
      <c r="D19" s="6"/>
    </row>
    <row r="20" spans="1:4" x14ac:dyDescent="0.35">
      <c r="A20" s="4"/>
      <c r="B20" s="5"/>
      <c r="C20" s="5"/>
      <c r="D20" s="6"/>
    </row>
    <row r="21" spans="1:4" x14ac:dyDescent="0.35">
      <c r="A21" s="4"/>
      <c r="B21" s="5"/>
      <c r="C21" s="5"/>
      <c r="D21" s="6"/>
    </row>
    <row r="22" spans="1:4" x14ac:dyDescent="0.35">
      <c r="A22" s="4"/>
      <c r="B22" s="5"/>
      <c r="C22" s="5"/>
      <c r="D22" s="6"/>
    </row>
    <row r="23" spans="1:4" x14ac:dyDescent="0.35">
      <c r="A23" s="4"/>
      <c r="B23" s="5"/>
      <c r="C23" s="5"/>
      <c r="D23" s="6"/>
    </row>
    <row r="24" spans="1:4" x14ac:dyDescent="0.35">
      <c r="A24" s="4"/>
      <c r="B24" s="5"/>
      <c r="C24" s="5"/>
      <c r="D24" s="6"/>
    </row>
    <row r="25" spans="1:4" x14ac:dyDescent="0.35">
      <c r="A25" s="4"/>
      <c r="B25" s="5"/>
      <c r="C25" s="5"/>
      <c r="D25" s="6"/>
    </row>
    <row r="26" spans="1:4" x14ac:dyDescent="0.35">
      <c r="A26" s="4"/>
      <c r="B26" s="5"/>
      <c r="C26" s="5"/>
      <c r="D26" s="6"/>
    </row>
    <row r="27" spans="1:4" x14ac:dyDescent="0.35">
      <c r="A27" s="4"/>
      <c r="B27" s="5"/>
      <c r="C27" s="5"/>
      <c r="D27" s="6"/>
    </row>
    <row r="28" spans="1:4" x14ac:dyDescent="0.35">
      <c r="A28" s="8"/>
      <c r="B28" s="10"/>
      <c r="C28" s="10"/>
      <c r="D28" s="7"/>
    </row>
    <row r="29" spans="1:4" x14ac:dyDescent="0.35">
      <c r="A29" s="4"/>
      <c r="B29" s="5"/>
      <c r="C29" s="5"/>
      <c r="D29" s="6"/>
    </row>
    <row r="30" spans="1:4" x14ac:dyDescent="0.35">
      <c r="A30" s="4"/>
      <c r="B30" s="5"/>
      <c r="C30" s="5"/>
      <c r="D30" s="6"/>
    </row>
    <row r="31" spans="1:4" x14ac:dyDescent="0.35">
      <c r="A31" s="4"/>
      <c r="B31" s="5"/>
      <c r="C31" s="5"/>
      <c r="D31" s="6"/>
    </row>
    <row r="32" spans="1:4" x14ac:dyDescent="0.35">
      <c r="A32" s="4"/>
      <c r="B32" s="5"/>
      <c r="C32" s="5"/>
      <c r="D32" s="6"/>
    </row>
    <row r="33" spans="1:4" x14ac:dyDescent="0.35">
      <c r="A33" s="4"/>
      <c r="B33" s="5"/>
      <c r="C33" s="5"/>
      <c r="D33" s="6"/>
    </row>
    <row r="34" spans="1:4" x14ac:dyDescent="0.35">
      <c r="A34" s="4"/>
      <c r="B34" s="5"/>
      <c r="C34" s="5"/>
      <c r="D34" s="6"/>
    </row>
    <row r="35" spans="1:4" x14ac:dyDescent="0.35">
      <c r="A35" s="4"/>
      <c r="B35" s="5"/>
      <c r="C35" s="5"/>
      <c r="D35" s="6"/>
    </row>
    <row r="36" spans="1:4" x14ac:dyDescent="0.35">
      <c r="A36" s="4"/>
      <c r="B36" s="5"/>
      <c r="C36" s="5"/>
      <c r="D36" s="6"/>
    </row>
    <row r="37" spans="1:4" x14ac:dyDescent="0.35">
      <c r="A37" s="4"/>
      <c r="B37" s="5"/>
      <c r="C37" s="5"/>
      <c r="D37" s="6"/>
    </row>
    <row r="38" spans="1:4" x14ac:dyDescent="0.35">
      <c r="A38" s="4"/>
      <c r="B38" s="5"/>
      <c r="C38" s="5"/>
      <c r="D38" s="6"/>
    </row>
    <row r="39" spans="1:4" x14ac:dyDescent="0.35">
      <c r="A39" s="4"/>
      <c r="B39" s="5"/>
      <c r="C39" s="5"/>
      <c r="D39" s="6"/>
    </row>
    <row r="40" spans="1:4" x14ac:dyDescent="0.35">
      <c r="A40" s="4"/>
      <c r="B40" s="5"/>
      <c r="C40" s="5"/>
      <c r="D40" s="6"/>
    </row>
    <row r="41" spans="1:4" x14ac:dyDescent="0.35">
      <c r="A41" s="4"/>
      <c r="B41" s="5"/>
      <c r="C41" s="5"/>
      <c r="D41" s="6"/>
    </row>
    <row r="42" spans="1:4" x14ac:dyDescent="0.35">
      <c r="A42" s="4"/>
      <c r="B42" s="5"/>
      <c r="C42" s="5"/>
      <c r="D42" s="6"/>
    </row>
    <row r="43" spans="1:4" x14ac:dyDescent="0.35">
      <c r="A43" s="4"/>
      <c r="B43" s="5"/>
      <c r="C43" s="5"/>
      <c r="D43" s="6"/>
    </row>
    <row r="44" spans="1:4" x14ac:dyDescent="0.35">
      <c r="A44" s="4"/>
      <c r="B44" s="5"/>
      <c r="C44" s="5"/>
      <c r="D44" s="6"/>
    </row>
    <row r="45" spans="1:4" x14ac:dyDescent="0.35">
      <c r="A45" s="4"/>
      <c r="B45" s="5"/>
      <c r="C45" s="5"/>
      <c r="D45" s="6"/>
    </row>
    <row r="46" spans="1:4" x14ac:dyDescent="0.35">
      <c r="A46" s="4"/>
      <c r="B46" s="5"/>
      <c r="C46" s="5"/>
      <c r="D46" s="6"/>
    </row>
    <row r="47" spans="1:4" x14ac:dyDescent="0.35">
      <c r="A47" s="4"/>
      <c r="B47" s="5"/>
      <c r="C47" s="5"/>
      <c r="D47" s="6"/>
    </row>
    <row r="48" spans="1:4" x14ac:dyDescent="0.35">
      <c r="A48" s="4"/>
      <c r="B48" s="5"/>
      <c r="C48" s="5"/>
      <c r="D48" s="6"/>
    </row>
    <row r="49" spans="1:4" x14ac:dyDescent="0.35">
      <c r="A49" s="4"/>
      <c r="B49" s="5"/>
      <c r="C49" s="5"/>
      <c r="D49" s="6"/>
    </row>
    <row r="50" spans="1:4" x14ac:dyDescent="0.35">
      <c r="A50" s="4"/>
      <c r="B50" s="5"/>
      <c r="C50" s="5"/>
      <c r="D50" s="6"/>
    </row>
    <row r="51" spans="1:4" x14ac:dyDescent="0.35">
      <c r="A51" s="4"/>
      <c r="B51" s="5"/>
      <c r="C51" s="5"/>
      <c r="D51" s="6"/>
    </row>
  </sheetData>
  <sheetProtection selectLockedCells="1" selectUnlockedCells="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D0B65-09DF-44CE-92B4-3FC53D871577}">
  <sheetPr codeName="TrackTasks"/>
  <dimension ref="A1:H26"/>
  <sheetViews>
    <sheetView workbookViewId="0">
      <selection activeCell="A21" sqref="A21"/>
    </sheetView>
  </sheetViews>
  <sheetFormatPr defaultRowHeight="14.5" x14ac:dyDescent="0.35"/>
  <cols>
    <col min="1" max="4" width="10.1796875" customWidth="1"/>
  </cols>
  <sheetData>
    <row r="1" spans="1:8" x14ac:dyDescent="0.35">
      <c r="A1" s="5" t="s">
        <v>5</v>
      </c>
      <c r="B1" s="5" t="s">
        <v>6</v>
      </c>
      <c r="C1" s="5" t="s">
        <v>7</v>
      </c>
      <c r="D1" s="5" t="s">
        <v>8</v>
      </c>
      <c r="E1">
        <v>1</v>
      </c>
      <c r="F1">
        <v>1</v>
      </c>
      <c r="G1">
        <v>1</v>
      </c>
      <c r="H1">
        <v>1</v>
      </c>
    </row>
    <row r="2" spans="1:8" x14ac:dyDescent="0.35">
      <c r="A2" s="5" t="str">
        <f>IFERROR(IF(AND(tasksTable[[#This Row],[Important]]="Yes", tasksTable[[#This Row],[Urgent]]="Yes"), tasksTable[[#This Row],[Task]], ""), "")</f>
        <v/>
      </c>
      <c r="B2" s="5" t="str">
        <f>IFERROR(IF(AND(tasksTable[[#This Row],[Important]]="Yes", tasksTable[[#This Row],[Urgent]]="No"), tasksTable[[#This Row],[Task]], ""), "")</f>
        <v/>
      </c>
      <c r="C2" s="5" t="str">
        <f>IFERROR(IF(AND(tasksTable[[#This Row],[Important]]="No", tasksTable[[#This Row],[Urgent]]="Yes"), tasksTable[[#This Row],[Task]], ""),"")</f>
        <v/>
      </c>
      <c r="D2" s="5" t="str">
        <f>IFERROR(IF(AND(tasksTable[[#This Row],[Important]]="No", tasksTable[[#This Row],[Urgent]]="No"), tasksTable[[#This Row],[Task]], ""),"")</f>
        <v/>
      </c>
      <c r="E2" t="str" cm="1">
        <f t="array" ref="E2">IFERROR(_xlfn._xlws.FILTER(A2:A24,A2:A24&lt;&gt;""),"")</f>
        <v/>
      </c>
      <c r="F2" t="str" cm="1">
        <f t="array" ref="F2">IFERROR(_xlfn._xlws.FILTER(B2:B25, B2:B25&lt;&gt;""), "")</f>
        <v/>
      </c>
      <c r="G2" t="str" cm="1">
        <f t="array" ref="G2">IFERROR(_xlfn._xlws.FILTER(C2:C25, C2:C25&lt;&gt;""),"")</f>
        <v/>
      </c>
      <c r="H2" t="str" cm="1">
        <f t="array" ref="H2">IFERROR(_xlfn._xlws.FILTER(D2:D25, D2:D25&lt;&gt;""),"")</f>
        <v/>
      </c>
    </row>
    <row r="3" spans="1:8" x14ac:dyDescent="0.35">
      <c r="A3" s="5" t="str">
        <f>IFERROR(IF(AND(tasksTable[[#This Row],[Important]]="Yes", tasksTable[[#This Row],[Urgent]]="Yes"), tasksTable[[#This Row],[Task]], ""), "")</f>
        <v/>
      </c>
      <c r="B3" s="5" t="str">
        <f>IFERROR(IF(AND(tasksTable[[#This Row],[Important]]="Yes", tasksTable[[#This Row],[Urgent]]="No"), tasksTable[[#This Row],[Task]], ""), "")</f>
        <v/>
      </c>
      <c r="C3" s="5" t="str">
        <f>IFERROR(IF(AND(tasksTable[[#This Row],[Important]]="No", tasksTable[[#This Row],[Urgent]]="Yes"), tasksTable[[#This Row],[Task]], ""),"")</f>
        <v/>
      </c>
      <c r="D3" s="5" t="str">
        <f>IFERROR(IF(AND(tasksTable[[#This Row],[Important]]="No", tasksTable[[#This Row],[Urgent]]="No"), tasksTable[[#This Row],[Task]], ""),"")</f>
        <v/>
      </c>
    </row>
    <row r="4" spans="1:8" x14ac:dyDescent="0.35">
      <c r="A4" s="5" t="str">
        <f>IFERROR(IF(AND(tasksTable[[#This Row],[Important]]="Yes", tasksTable[[#This Row],[Urgent]]="Yes"), tasksTable[[#This Row],[Task]], ""), "")</f>
        <v/>
      </c>
      <c r="B4" s="5" t="str">
        <f>IFERROR(IF(AND(tasksTable[[#This Row],[Important]]="Yes", tasksTable[[#This Row],[Urgent]]="No"), tasksTable[[#This Row],[Task]], ""), "")</f>
        <v/>
      </c>
      <c r="C4" s="5" t="str">
        <f>IFERROR(IF(AND(tasksTable[[#This Row],[Important]]="No", tasksTable[[#This Row],[Urgent]]="Yes"), tasksTable[[#This Row],[Task]], ""),"")</f>
        <v/>
      </c>
      <c r="D4" s="5" t="str">
        <f>IFERROR(IF(AND(tasksTable[[#This Row],[Important]]="No", tasksTable[[#This Row],[Urgent]]="No"), tasksTable[[#This Row],[Task]], ""),"")</f>
        <v/>
      </c>
    </row>
    <row r="5" spans="1:8" x14ac:dyDescent="0.35">
      <c r="A5" s="5" t="str">
        <f>IFERROR(IF(AND(tasksTable[[#This Row],[Important]]="Yes", tasksTable[[#This Row],[Urgent]]="Yes"), tasksTable[[#This Row],[Task]], ""), "")</f>
        <v/>
      </c>
      <c r="B5" s="5" t="str">
        <f>IFERROR(IF(AND(tasksTable[[#This Row],[Important]]="Yes", tasksTable[[#This Row],[Urgent]]="No"), tasksTable[[#This Row],[Task]], ""), "")</f>
        <v/>
      </c>
      <c r="C5" s="5" t="str">
        <f>IFERROR(IF(AND(tasksTable[[#This Row],[Important]]="No", tasksTable[[#This Row],[Urgent]]="Yes"), tasksTable[[#This Row],[Task]], ""),"")</f>
        <v/>
      </c>
      <c r="D5" s="5" t="str">
        <f>IFERROR(IF(AND(tasksTable[[#This Row],[Important]]="No", tasksTable[[#This Row],[Urgent]]="No"), tasksTable[[#This Row],[Task]], ""),"")</f>
        <v/>
      </c>
    </row>
    <row r="6" spans="1:8" x14ac:dyDescent="0.35">
      <c r="A6" s="5" t="str">
        <f>IFERROR(IF(AND(tasksTable[[#This Row],[Important]]="Yes", tasksTable[[#This Row],[Urgent]]="Yes"), tasksTable[[#This Row],[Task]], ""), "")</f>
        <v/>
      </c>
      <c r="B6" s="5" t="str">
        <f>IFERROR(IF(AND(tasksTable[[#This Row],[Important]]="Yes", tasksTable[[#This Row],[Urgent]]="No"), tasksTable[[#This Row],[Task]], ""), "")</f>
        <v/>
      </c>
      <c r="C6" s="5" t="str">
        <f>IFERROR(IF(AND(tasksTable[[#This Row],[Important]]="No", tasksTable[[#This Row],[Urgent]]="Yes"), tasksTable[[#This Row],[Task]], ""),"")</f>
        <v/>
      </c>
      <c r="D6" s="5" t="str">
        <f>IFERROR(IF(AND(tasksTable[[#This Row],[Important]]="No", tasksTable[[#This Row],[Urgent]]="No"), tasksTable[[#This Row],[Task]], ""),"")</f>
        <v/>
      </c>
    </row>
    <row r="7" spans="1:8" x14ac:dyDescent="0.35">
      <c r="A7" s="5" t="str">
        <f>IFERROR(IF(AND(tasksTable[[#This Row],[Important]]="Yes", tasksTable[[#This Row],[Urgent]]="Yes"), tasksTable[[#This Row],[Task]], ""), "")</f>
        <v/>
      </c>
      <c r="B7" s="5" t="str">
        <f>IFERROR(IF(AND(tasksTable[[#This Row],[Important]]="Yes", tasksTable[[#This Row],[Urgent]]="No"), tasksTable[[#This Row],[Task]], ""), "")</f>
        <v/>
      </c>
      <c r="C7" s="5" t="str">
        <f>IFERROR(IF(AND(tasksTable[[#This Row],[Important]]="No", tasksTable[[#This Row],[Urgent]]="Yes"), tasksTable[[#This Row],[Task]], ""),"")</f>
        <v/>
      </c>
      <c r="D7" s="5" t="str">
        <f>IFERROR(IF(AND(tasksTable[[#This Row],[Important]]="No", tasksTable[[#This Row],[Urgent]]="No"), tasksTable[[#This Row],[Task]], ""),"")</f>
        <v/>
      </c>
    </row>
    <row r="8" spans="1:8" x14ac:dyDescent="0.35">
      <c r="A8" s="5" t="str">
        <f>IFERROR(IF(AND(tasksTable[[#This Row],[Important]]="Yes", tasksTable[[#This Row],[Urgent]]="Yes"), tasksTable[[#This Row],[Task]], ""), "")</f>
        <v/>
      </c>
      <c r="B8" s="5" t="str">
        <f>IFERROR(IF(AND(tasksTable[[#This Row],[Important]]="Yes", tasksTable[[#This Row],[Urgent]]="No"), tasksTable[[#This Row],[Task]], ""), "")</f>
        <v/>
      </c>
      <c r="C8" s="5" t="str">
        <f>IFERROR(IF(AND(tasksTable[[#This Row],[Important]]="No", tasksTable[[#This Row],[Urgent]]="Yes"), tasksTable[[#This Row],[Task]], ""),"")</f>
        <v/>
      </c>
      <c r="D8" s="5" t="str">
        <f>IFERROR(IF(AND(tasksTable[[#This Row],[Important]]="No", tasksTable[[#This Row],[Urgent]]="No"), tasksTable[[#This Row],[Task]], ""),"")</f>
        <v/>
      </c>
    </row>
    <row r="9" spans="1:8" x14ac:dyDescent="0.35">
      <c r="A9" s="5" t="str">
        <f>IFERROR(IF(AND(tasksTable[[#This Row],[Important]]="Yes", tasksTable[[#This Row],[Urgent]]="Yes"), tasksTable[[#This Row],[Task]], ""), "")</f>
        <v/>
      </c>
      <c r="B9" s="5" t="str">
        <f>IFERROR(IF(AND(tasksTable[[#This Row],[Important]]="Yes", tasksTable[[#This Row],[Urgent]]="No"), tasksTable[[#This Row],[Task]], ""), "")</f>
        <v/>
      </c>
      <c r="C9" s="5" t="str">
        <f>IFERROR(IF(AND(tasksTable[[#This Row],[Important]]="No", tasksTable[[#This Row],[Urgent]]="Yes"), tasksTable[[#This Row],[Task]], ""),"")</f>
        <v/>
      </c>
      <c r="D9" s="5" t="str">
        <f>IFERROR(IF(AND(tasksTable[[#This Row],[Important]]="No", tasksTable[[#This Row],[Urgent]]="No"), tasksTable[[#This Row],[Task]], ""),"")</f>
        <v/>
      </c>
    </row>
    <row r="10" spans="1:8" x14ac:dyDescent="0.35">
      <c r="A10" s="5" t="str">
        <f>IFERROR(IF(AND(tasksTable[[#This Row],[Important]]="Yes", tasksTable[[#This Row],[Urgent]]="Yes"), tasksTable[[#This Row],[Task]], ""), "")</f>
        <v/>
      </c>
      <c r="B10" s="5" t="str">
        <f>IFERROR(IF(AND(tasksTable[[#This Row],[Important]]="Yes", tasksTable[[#This Row],[Urgent]]="No"), tasksTable[[#This Row],[Task]], ""), "")</f>
        <v/>
      </c>
      <c r="C10" s="5" t="str">
        <f>IFERROR(IF(AND(tasksTable[[#This Row],[Important]]="No", tasksTable[[#This Row],[Urgent]]="Yes"), tasksTable[[#This Row],[Task]], ""),"")</f>
        <v/>
      </c>
      <c r="D10" s="5" t="str">
        <f>IFERROR(IF(AND(tasksTable[[#This Row],[Important]]="No", tasksTable[[#This Row],[Urgent]]="No"), tasksTable[[#This Row],[Task]], ""),"")</f>
        <v/>
      </c>
    </row>
    <row r="11" spans="1:8" x14ac:dyDescent="0.35">
      <c r="A11" s="5" t="str">
        <f>IFERROR(IF(AND(tasksTable[[#This Row],[Important]]="Yes", tasksTable[[#This Row],[Urgent]]="Yes"), tasksTable[[#This Row],[Task]], ""), "")</f>
        <v/>
      </c>
      <c r="B11" s="5" t="str">
        <f>IFERROR(IF(AND(tasksTable[[#This Row],[Important]]="Yes", tasksTable[[#This Row],[Urgent]]="No"), tasksTable[[#This Row],[Task]], ""), "")</f>
        <v/>
      </c>
      <c r="C11" s="5" t="str">
        <f>IFERROR(IF(AND(tasksTable[[#This Row],[Important]]="No", tasksTable[[#This Row],[Urgent]]="Yes"), tasksTable[[#This Row],[Task]], ""),"")</f>
        <v/>
      </c>
      <c r="D11" s="5" t="str">
        <f>IFERROR(IF(AND(tasksTable[[#This Row],[Important]]="No", tasksTable[[#This Row],[Urgent]]="No"), tasksTable[[#This Row],[Task]], ""),"")</f>
        <v/>
      </c>
    </row>
    <row r="12" spans="1:8" x14ac:dyDescent="0.35">
      <c r="A12" s="5" t="str">
        <f>IFERROR(IF(AND(tasksTable[[#This Row],[Important]]="Yes", tasksTable[[#This Row],[Urgent]]="Yes"), tasksTable[[#This Row],[Task]], ""), "")</f>
        <v/>
      </c>
      <c r="B12" s="5" t="str">
        <f>IFERROR(IF(AND(tasksTable[[#This Row],[Important]]="Yes", tasksTable[[#This Row],[Urgent]]="No"), tasksTable[[#This Row],[Task]], ""), "")</f>
        <v/>
      </c>
      <c r="C12" s="5" t="str">
        <f>IFERROR(IF(AND(tasksTable[[#This Row],[Important]]="No", tasksTable[[#This Row],[Urgent]]="Yes"), tasksTable[[#This Row],[Task]], ""),"")</f>
        <v/>
      </c>
      <c r="D12" s="5" t="str">
        <f>IFERROR(IF(AND(tasksTable[[#This Row],[Important]]="No", tasksTable[[#This Row],[Urgent]]="No"), tasksTable[[#This Row],[Task]], ""),"")</f>
        <v/>
      </c>
    </row>
    <row r="13" spans="1:8" x14ac:dyDescent="0.35">
      <c r="A13" s="5" t="str">
        <f>IFERROR(IF(AND(tasksTable[[#This Row],[Important]]="Yes", tasksTable[[#This Row],[Urgent]]="Yes"), tasksTable[[#This Row],[Task]], ""), "")</f>
        <v/>
      </c>
      <c r="B13" s="5" t="str">
        <f>IFERROR(IF(AND(tasksTable[[#This Row],[Important]]="Yes", tasksTable[[#This Row],[Urgent]]="No"), tasksTable[[#This Row],[Task]], ""), "")</f>
        <v/>
      </c>
      <c r="C13" s="5" t="str">
        <f>IFERROR(IF(AND(tasksTable[[#This Row],[Important]]="No", tasksTable[[#This Row],[Urgent]]="Yes"), tasksTable[[#This Row],[Task]], ""),"")</f>
        <v/>
      </c>
      <c r="D13" s="5" t="str">
        <f>IFERROR(IF(AND(tasksTable[[#This Row],[Important]]="No", tasksTable[[#This Row],[Urgent]]="No"), tasksTable[[#This Row],[Task]], ""),"")</f>
        <v/>
      </c>
    </row>
    <row r="14" spans="1:8" x14ac:dyDescent="0.35">
      <c r="A14" s="5" t="str">
        <f>IFERROR(IF(AND(tasksTable[[#This Row],[Important]]="Yes", tasksTable[[#This Row],[Urgent]]="Yes"), tasksTable[[#This Row],[Task]], ""), "")</f>
        <v/>
      </c>
      <c r="B14" s="5" t="str">
        <f>IFERROR(IF(AND(tasksTable[[#This Row],[Important]]="Yes", tasksTable[[#This Row],[Urgent]]="No"), tasksTable[[#This Row],[Task]], ""), "")</f>
        <v/>
      </c>
      <c r="C14" s="5" t="str">
        <f>IFERROR(IF(AND(tasksTable[[#This Row],[Important]]="No", tasksTable[[#This Row],[Urgent]]="Yes"), tasksTable[[#This Row],[Task]], ""),"")</f>
        <v/>
      </c>
      <c r="D14" s="5" t="str">
        <f>IFERROR(IF(AND(tasksTable[[#This Row],[Important]]="No", tasksTable[[#This Row],[Urgent]]="No"), tasksTable[[#This Row],[Task]], ""),"")</f>
        <v/>
      </c>
    </row>
    <row r="15" spans="1:8" x14ac:dyDescent="0.35">
      <c r="A15" s="5" t="str">
        <f>IFERROR(IF(AND(tasksTable[[#This Row],[Important]]="Yes", tasksTable[[#This Row],[Urgent]]="Yes"), tasksTable[[#This Row],[Task]], ""), "")</f>
        <v/>
      </c>
      <c r="B15" s="5" t="str">
        <f>IFERROR(IF(AND(tasksTable[[#This Row],[Important]]="Yes", tasksTable[[#This Row],[Urgent]]="No"), tasksTable[[#This Row],[Task]], ""), "")</f>
        <v/>
      </c>
      <c r="C15" s="5" t="str">
        <f>IFERROR(IF(AND(tasksTable[[#This Row],[Important]]="No", tasksTable[[#This Row],[Urgent]]="Yes"), tasksTable[[#This Row],[Task]], ""),"")</f>
        <v/>
      </c>
      <c r="D15" s="5" t="str">
        <f>IFERROR(IF(AND(tasksTable[[#This Row],[Important]]="No", tasksTable[[#This Row],[Urgent]]="No"), tasksTable[[#This Row],[Task]], ""),"")</f>
        <v/>
      </c>
    </row>
    <row r="16" spans="1:8" x14ac:dyDescent="0.35">
      <c r="A16" s="5" t="str">
        <f>IFERROR(IF(AND(tasksTable[[#This Row],[Important]]="Yes", tasksTable[[#This Row],[Urgent]]="Yes"), tasksTable[[#This Row],[Task]], ""), "")</f>
        <v/>
      </c>
      <c r="B16" s="5" t="str">
        <f>IFERROR(IF(AND(tasksTable[[#This Row],[Important]]="Yes", tasksTable[[#This Row],[Urgent]]="No"), tasksTable[[#This Row],[Task]], ""), "")</f>
        <v/>
      </c>
      <c r="C16" s="5" t="str">
        <f>IFERROR(IF(AND(tasksTable[[#This Row],[Important]]="No", tasksTable[[#This Row],[Urgent]]="Yes"), tasksTable[[#This Row],[Task]], ""),"")</f>
        <v/>
      </c>
      <c r="D16" s="5" t="str">
        <f>IFERROR(IF(AND(tasksTable[[#This Row],[Important]]="No", tasksTable[[#This Row],[Urgent]]="No"), tasksTable[[#This Row],[Task]], ""),"")</f>
        <v/>
      </c>
    </row>
    <row r="17" spans="1:8" x14ac:dyDescent="0.35">
      <c r="A17" s="5" t="str">
        <f>IFERROR(IF(AND(tasksTable[[#This Row],[Important]]="Yes", tasksTable[[#This Row],[Urgent]]="Yes"), tasksTable[[#This Row],[Task]], ""), "")</f>
        <v/>
      </c>
      <c r="B17" s="5" t="str">
        <f>IFERROR(IF(AND(tasksTable[[#This Row],[Important]]="Yes", tasksTable[[#This Row],[Urgent]]="No"), tasksTable[[#This Row],[Task]], ""), "")</f>
        <v/>
      </c>
      <c r="C17" s="5" t="str">
        <f>IFERROR(IF(AND(tasksTable[[#This Row],[Important]]="No", tasksTable[[#This Row],[Urgent]]="Yes"), tasksTable[[#This Row],[Task]], ""),"")</f>
        <v/>
      </c>
      <c r="D17" s="5" t="str">
        <f>IFERROR(IF(AND(tasksTable[[#This Row],[Important]]="No", tasksTable[[#This Row],[Urgent]]="No"), tasksTable[[#This Row],[Task]], ""),"")</f>
        <v/>
      </c>
    </row>
    <row r="18" spans="1:8" x14ac:dyDescent="0.35">
      <c r="A18" s="5" t="str">
        <f>IFERROR(IF(AND(tasksTable[[#This Row],[Important]]="Yes", tasksTable[[#This Row],[Urgent]]="Yes"), tasksTable[[#This Row],[Task]], ""), "")</f>
        <v/>
      </c>
      <c r="B18" s="5" t="str">
        <f>IFERROR(IF(AND(tasksTable[[#This Row],[Important]]="Yes", tasksTable[[#This Row],[Urgent]]="No"), tasksTable[[#This Row],[Task]], ""), "")</f>
        <v/>
      </c>
      <c r="C18" s="5" t="str">
        <f>IFERROR(IF(AND(tasksTable[[#This Row],[Important]]="No", tasksTable[[#This Row],[Urgent]]="Yes"), tasksTable[[#This Row],[Task]], ""),"")</f>
        <v/>
      </c>
      <c r="D18" s="5" t="str">
        <f>IFERROR(IF(AND(tasksTable[[#This Row],[Important]]="No", tasksTable[[#This Row],[Urgent]]="No"), tasksTable[[#This Row],[Task]], ""),"")</f>
        <v/>
      </c>
    </row>
    <row r="19" spans="1:8" x14ac:dyDescent="0.35">
      <c r="A19" s="5" t="str">
        <f>IFERROR(IF(AND(tasksTable[[#This Row],[Important]]="Yes", tasksTable[[#This Row],[Urgent]]="Yes"), tasksTable[[#This Row],[Task]], ""), "")</f>
        <v/>
      </c>
      <c r="B19" s="5" t="str">
        <f>IFERROR(IF(AND(tasksTable[[#This Row],[Important]]="Yes", tasksTable[[#This Row],[Urgent]]="No"), tasksTable[[#This Row],[Task]], ""), "")</f>
        <v/>
      </c>
      <c r="C19" s="5" t="str">
        <f>IFERROR(IF(AND(tasksTable[[#This Row],[Important]]="No", tasksTable[[#This Row],[Urgent]]="Yes"), tasksTable[[#This Row],[Task]], ""),"")</f>
        <v/>
      </c>
      <c r="D19" s="5" t="str">
        <f>IFERROR(IF(AND(tasksTable[[#This Row],[Important]]="No", tasksTable[[#This Row],[Urgent]]="No"), tasksTable[[#This Row],[Task]], ""),"")</f>
        <v/>
      </c>
    </row>
    <row r="20" spans="1:8" x14ac:dyDescent="0.35">
      <c r="A20" s="5" t="str">
        <f>IFERROR(IF(AND(tasksTable[[#This Row],[Important]]="Yes", tasksTable[[#This Row],[Urgent]]="Yes"), tasksTable[[#This Row],[Task]], ""), "")</f>
        <v/>
      </c>
      <c r="B20" s="5" t="str">
        <f>IFERROR(IF(AND(tasksTable[[#This Row],[Important]]="Yes", tasksTable[[#This Row],[Urgent]]="No"), tasksTable[[#This Row],[Task]], ""), "")</f>
        <v/>
      </c>
      <c r="C20" s="5" t="str">
        <f>IFERROR(IF(AND(tasksTable[[#This Row],[Important]]="No", tasksTable[[#This Row],[Urgent]]="Yes"), tasksTable[[#This Row],[Task]], ""),"")</f>
        <v/>
      </c>
      <c r="D20" s="5" t="str">
        <f>IFERROR(IF(AND(tasksTable[[#This Row],[Important]]="No", tasksTable[[#This Row],[Urgent]]="No"), tasksTable[[#This Row],[Task]], ""),"")</f>
        <v/>
      </c>
    </row>
    <row r="21" spans="1:8" x14ac:dyDescent="0.35">
      <c r="A21" s="5" t="str">
        <f>IFERROR(IF(AND(tasksTable[[#This Row],[Important]]="Yes", tasksTable[[#This Row],[Urgent]]="Yes"), tasksTable[[#This Row],[Task]], ""), "")</f>
        <v/>
      </c>
      <c r="B21" s="5" t="str">
        <f>IFERROR(IF(AND(tasksTable[[#This Row],[Important]]="Yes", tasksTable[[#This Row],[Urgent]]="No"), tasksTable[[#This Row],[Task]], ""), "")</f>
        <v/>
      </c>
      <c r="C21" s="5" t="str">
        <f>IFERROR(IF(AND(tasksTable[[#This Row],[Important]]="No", tasksTable[[#This Row],[Urgent]]="Yes"), tasksTable[[#This Row],[Task]], ""),"")</f>
        <v/>
      </c>
      <c r="D21" s="5" t="str">
        <f>IFERROR(IF(AND(tasksTable[[#This Row],[Important]]="No", tasksTable[[#This Row],[Urgent]]="No"), tasksTable[[#This Row],[Task]], ""),"")</f>
        <v/>
      </c>
    </row>
    <row r="22" spans="1:8" x14ac:dyDescent="0.35">
      <c r="A22" s="5" t="str">
        <f>IFERROR(IF(AND(tasksTable[[#This Row],[Important]]="Yes", tasksTable[[#This Row],[Urgent]]="Yes"), tasksTable[[#This Row],[Task]], ""), "")</f>
        <v/>
      </c>
      <c r="B22" s="5" t="str">
        <f>IFERROR(IF(AND(tasksTable[[#This Row],[Important]]="Yes", tasksTable[[#This Row],[Urgent]]="No"), tasksTable[[#This Row],[Task]], ""), "")</f>
        <v/>
      </c>
      <c r="C22" s="5" t="str">
        <f>IFERROR(IF(AND(tasksTable[[#This Row],[Important]]="No", tasksTable[[#This Row],[Urgent]]="Yes"), tasksTable[[#This Row],[Task]], ""),"")</f>
        <v/>
      </c>
      <c r="D22" s="5" t="str">
        <f>IFERROR(IF(AND(tasksTable[[#This Row],[Important]]="No", tasksTable[[#This Row],[Urgent]]="No"), tasksTable[[#This Row],[Task]], ""),"")</f>
        <v/>
      </c>
    </row>
    <row r="23" spans="1:8" x14ac:dyDescent="0.35">
      <c r="A23" s="5" t="str">
        <f>IFERROR(IF(AND(tasksTable[[#This Row],[Important]]="Yes", tasksTable[[#This Row],[Urgent]]="Yes"), tasksTable[[#This Row],[Task]], ""), "")</f>
        <v/>
      </c>
      <c r="B23" s="5" t="str">
        <f>IFERROR(IF(AND(tasksTable[[#This Row],[Important]]="Yes", tasksTable[[#This Row],[Urgent]]="No"), tasksTable[[#This Row],[Task]], ""), "")</f>
        <v/>
      </c>
      <c r="C23" s="5" t="str">
        <f>IFERROR(IF(AND(tasksTable[[#This Row],[Important]]="No", tasksTable[[#This Row],[Urgent]]="Yes"), tasksTable[[#This Row],[Task]], ""),"")</f>
        <v/>
      </c>
      <c r="D23" s="5" t="str">
        <f>IFERROR(IF(AND(tasksTable[[#This Row],[Important]]="No", tasksTable[[#This Row],[Urgent]]="No"), tasksTable[[#This Row],[Task]], ""),"")</f>
        <v/>
      </c>
    </row>
    <row r="24" spans="1:8" x14ac:dyDescent="0.35">
      <c r="A24" s="5" t="str">
        <f>IFERROR(IF(AND(tasksTable[[#This Row],[Important]]="Yes", tasksTable[[#This Row],[Urgent]]="Yes"), tasksTable[[#This Row],[Task]], ""), "")</f>
        <v/>
      </c>
      <c r="B24" s="5" t="str">
        <f>IFERROR(IF(AND(tasksTable[[#This Row],[Important]]="Yes", tasksTable[[#This Row],[Urgent]]="No"), tasksTable[[#This Row],[Task]], ""), "")</f>
        <v/>
      </c>
      <c r="C24" s="5" t="str">
        <f>IFERROR(IF(AND(tasksTable[[#This Row],[Important]]="No", tasksTable[[#This Row],[Urgent]]="Yes"), tasksTable[[#This Row],[Task]], ""),"")</f>
        <v/>
      </c>
      <c r="D24" s="5" t="str">
        <f>IFERROR(IF(AND(tasksTable[[#This Row],[Important]]="No", tasksTable[[#This Row],[Urgent]]="No"), tasksTable[[#This Row],[Task]], ""),"")</f>
        <v/>
      </c>
    </row>
    <row r="25" spans="1:8" x14ac:dyDescent="0.35">
      <c r="A25" s="5" t="str">
        <f>IFERROR(IF(AND(tasksTable[[#This Row],[Important]]="Yes", tasksTable[[#This Row],[Urgent]]="Yes"), tasksTable[[#This Row],[Task]], ""), "")</f>
        <v/>
      </c>
      <c r="B25" s="5" t="str">
        <f>IFERROR(IF(AND(tasksTable[[#This Row],[Important]]="Yes", tasksTable[[#This Row],[Urgent]]="No"), tasksTable[[#This Row],[Task]], ""), "")</f>
        <v/>
      </c>
      <c r="C25" s="5" t="str">
        <f>IFERROR(IF(AND(tasksTable[[#This Row],[Important]]="No", tasksTable[[#This Row],[Urgent]]="Yes"), tasksTable[[#This Row],[Task]], ""),"")</f>
        <v/>
      </c>
      <c r="D25" s="5" t="str">
        <f>IFERROR(IF(AND(tasksTable[[#This Row],[Important]]="No", tasksTable[[#This Row],[Urgent]]="No"), tasksTable[[#This Row],[Task]], ""),"")</f>
        <v/>
      </c>
    </row>
    <row r="26" spans="1:8" x14ac:dyDescent="0.35">
      <c r="A26" s="9"/>
      <c r="E26">
        <f>24 - COUNTBLANK(E2:E25)</f>
        <v>0</v>
      </c>
      <c r="F26">
        <f t="shared" ref="F26:H26" si="0">24 - COUNTBLANK(F2:F25)</f>
        <v>0</v>
      </c>
      <c r="G26">
        <f t="shared" si="0"/>
        <v>0</v>
      </c>
      <c r="H26">
        <f t="shared" si="0"/>
        <v>0</v>
      </c>
    </row>
  </sheetData>
  <sheetProtection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Table</vt:lpstr>
      <vt:lpstr>Tasks</vt:lpstr>
      <vt:lpstr>TrackTasks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Jacek Cieślak</dc:creator>
  <cp:lastModifiedBy>Jacek Cieślak</cp:lastModifiedBy>
  <dcterms:created xsi:type="dcterms:W3CDTF">2024-05-10T06:10:07Z</dcterms:created>
  <dcterms:modified xsi:type="dcterms:W3CDTF">2024-05-24T15:25:29Z</dcterms:modified>
</cp:coreProperties>
</file>